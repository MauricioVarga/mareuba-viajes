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797120400dc2990/Documentos/"/>
    </mc:Choice>
  </mc:AlternateContent>
  <xr:revisionPtr revIDLastSave="1" documentId="8_{B0EBE6EF-0AAC-453C-A194-ACA19AA5C77C}" xr6:coauthVersionLast="47" xr6:coauthVersionMax="47" xr10:uidLastSave="{35477A27-0C1C-4D43-8C15-585C1FB87C17}"/>
  <bookViews>
    <workbookView xWindow="-108" yWindow="-108" windowWidth="23256" windowHeight="12456" tabRatio="750" activeTab="3" xr2:uid="{00000000-000D-0000-FFFF-FFFF00000000}"/>
  </bookViews>
  <sheets>
    <sheet name="USUARIOS" sheetId="2" r:id="rId1"/>
    <sheet name="VEHICULOS" sheetId="3" r:id="rId2"/>
    <sheet name="CARGA" sheetId="4" r:id="rId3"/>
    <sheet name="LUGARES" sheetId="5" r:id="rId4"/>
    <sheet name="VIAJES" sheetId="6" r:id="rId5"/>
    <sheet name="CARGAMENTO_VIAJE" sheetId="7" r:id="rId6"/>
    <sheet name="Catalogos" sheetId="11" r:id="rId7"/>
    <sheet name="Planificacion" sheetId="8" r:id="rId8"/>
  </sheets>
  <definedNames>
    <definedName name="_xlnm._FilterDatabase" localSheetId="2" hidden="1">CARGA!$A$1:$G$1</definedName>
    <definedName name="_xlnm._FilterDatabase" localSheetId="5" hidden="1">CARGAMENTO_VIAJE!$A$1:$G$1</definedName>
    <definedName name="_xlnm._FilterDatabase" localSheetId="3" hidden="1">LUGARES!$A$1:$I$1</definedName>
    <definedName name="_xlnm._FilterDatabase" localSheetId="0" hidden="1">USUARIOS!$B$1:$F$1</definedName>
    <definedName name="_xlnm._FilterDatabase" localSheetId="1" hidden="1">VEHICULOS!$A$1:$H$1</definedName>
    <definedName name="_xlnm._FilterDatabase" localSheetId="4" hidden="1">VIAJES!$A$1:$M$1</definedName>
    <definedName name="ListaCargas">Tabla3[ID_Carga]</definedName>
    <definedName name="ListaEstados">Tabla_Estado[ID_Estado]</definedName>
    <definedName name="ListaLugares">Tabla4[ID_Lugar]</definedName>
    <definedName name="ListaMetodosMedicion">Tabla_Metodo_Medicion[ID_Metodo_Medicion]</definedName>
    <definedName name="ListaRoles">Tabla_Rol[ID_Rol]</definedName>
    <definedName name="ListaTiposCarga">Tabla_Tipo_Carga[ID_Tipo_Carga]</definedName>
    <definedName name="ListaTiposVehiculo">Tabla_Tipo_Vehiculo[ID_Tipo_Vehiculo]</definedName>
    <definedName name="ListaUnidades">Tabla_Unidad[ID_Unidad]</definedName>
    <definedName name="ListaUsuarios">Tabla1[ID_Usuario]</definedName>
    <definedName name="ListaVehiculos">Tabla2[ID_Vehiculo]</definedName>
    <definedName name="ListaViajes">Tabla5[ID_Viaje]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<sst xmlns="http://schemas.openxmlformats.org/spreadsheetml/2006/main" count="281" uniqueCount="154">
  <si>
    <t>Email</t>
  </si>
  <si>
    <t>Nombre</t>
  </si>
  <si>
    <t>Apellido</t>
  </si>
  <si>
    <t>Activo</t>
  </si>
  <si>
    <t>Mauricio</t>
  </si>
  <si>
    <t>Administrativo</t>
  </si>
  <si>
    <t>ID_Vehiculo</t>
  </si>
  <si>
    <t>Marca</t>
  </si>
  <si>
    <t>Modelo</t>
  </si>
  <si>
    <t>Año</t>
  </si>
  <si>
    <t>Observaciones</t>
  </si>
  <si>
    <t>AE517OT</t>
  </si>
  <si>
    <t>Camion</t>
  </si>
  <si>
    <t>Scania</t>
  </si>
  <si>
    <t>P320 6X4</t>
  </si>
  <si>
    <t>AD209PL</t>
  </si>
  <si>
    <t>P360 6X4</t>
  </si>
  <si>
    <t>GR_MZ</t>
  </si>
  <si>
    <t>Grano de Maiz</t>
  </si>
  <si>
    <t>Grano</t>
  </si>
  <si>
    <t>Kg</t>
  </si>
  <si>
    <t>GR_SJ</t>
  </si>
  <si>
    <t>Grano de Soja</t>
  </si>
  <si>
    <t>MOL_MZ</t>
  </si>
  <si>
    <t>Maiz Molido</t>
  </si>
  <si>
    <t>Alimento</t>
  </si>
  <si>
    <t>ID_Lugar</t>
  </si>
  <si>
    <t>Nombre_Lugar</t>
  </si>
  <si>
    <t>Tipo_Lugar</t>
  </si>
  <si>
    <t>Ubicacion</t>
  </si>
  <si>
    <t>EL39</t>
  </si>
  <si>
    <t>Campo El 39</t>
  </si>
  <si>
    <t>Campo</t>
  </si>
  <si>
    <t>Acopio</t>
  </si>
  <si>
    <t>Tambo</t>
  </si>
  <si>
    <t>ID_Viaje</t>
  </si>
  <si>
    <t>Fecha_Hora_Salida</t>
  </si>
  <si>
    <t>Fecha_Hora_Llegada</t>
  </si>
  <si>
    <t>Odometro_Inicial</t>
  </si>
  <si>
    <t>Odometro_Final</t>
  </si>
  <si>
    <t>Km_Recorridos</t>
  </si>
  <si>
    <t>Estado</t>
  </si>
  <si>
    <t>Finalizado</t>
  </si>
  <si>
    <t>ID_Carga</t>
  </si>
  <si>
    <t>Cantidad</t>
  </si>
  <si>
    <t>Peso_Estimado</t>
  </si>
  <si>
    <t>Tambo 1</t>
  </si>
  <si>
    <t>Cotagro</t>
  </si>
  <si>
    <t>2do preregistro</t>
  </si>
  <si>
    <t>1er preregistro</t>
  </si>
  <si>
    <t>Varga</t>
  </si>
  <si>
    <t>mvarga@ubp.edu.ar</t>
  </si>
  <si>
    <t>Peso_en_destino</t>
  </si>
  <si>
    <t>ID_Cargamento</t>
  </si>
  <si>
    <t>260823_01</t>
  </si>
  <si>
    <t>260823_02</t>
  </si>
  <si>
    <t>260823_01_MOL_MZ</t>
  </si>
  <si>
    <t>260823_02_GR_SJ</t>
  </si>
  <si>
    <t>Nombre_Vehiculo</t>
  </si>
  <si>
    <t>Scania P320 2020</t>
  </si>
  <si>
    <t>Scania P360 2022</t>
  </si>
  <si>
    <t>Nombre_Carga</t>
  </si>
  <si>
    <t>Planta de silos</t>
  </si>
  <si>
    <t>1Tambo</t>
  </si>
  <si>
    <t>Cotagro_RC</t>
  </si>
  <si>
    <t>Planta</t>
  </si>
  <si>
    <t>Inconsistencia detectada: MOL_MZ figura como Pesaje en CARGA, pero Bascula en CARGAMENTO_VIAJE.</t>
  </si>
  <si>
    <t>SILOS_ENS</t>
  </si>
  <si>
    <t>Pesaje en bascula</t>
  </si>
  <si>
    <t>CARGAMENTO_VIAJE: para Carga, Unidad y Metodo_Medicion tomar ID_Carga para obtener atributos desde CARGA mediante la relación.</t>
  </si>
  <si>
    <t>ID_Origen e ID_Destino vinculados a LUGARES.ID_Lugar.</t>
  </si>
  <si>
    <t>ID_Usuario</t>
  </si>
  <si>
    <t>Mauricio_Varga</t>
  </si>
  <si>
    <t>Buena Esperanza</t>
  </si>
  <si>
    <t>Rio Cuarto</t>
  </si>
  <si>
    <t>Las Ensenadas</t>
  </si>
  <si>
    <t>San Luis</t>
  </si>
  <si>
    <t>Cordoba</t>
  </si>
  <si>
    <t>Provincia</t>
  </si>
  <si>
    <t>País</t>
  </si>
  <si>
    <t>Argentina</t>
  </si>
  <si>
    <t>latitud/longitud</t>
  </si>
  <si>
    <t>Funcionamiento esperado</t>
  </si>
  <si>
    <t>Usuario_Salida_ID</t>
  </si>
  <si>
    <t>Usuario_Cierre_ID</t>
  </si>
  <si>
    <t>ID_Origen</t>
  </si>
  <si>
    <t>ID_Destino</t>
  </si>
  <si>
    <t>CATÁLOGOS Y MODELO RELACIONAL</t>
  </si>
  <si>
    <t>USUARIOS</t>
  </si>
  <si>
    <t>LUGARES</t>
  </si>
  <si>
    <t>VIAJES</t>
  </si>
  <si>
    <t>Tabla padre</t>
  </si>
  <si>
    <t>PK</t>
  </si>
  <si>
    <t>Tabla hija</t>
  </si>
  <si>
    <t>FK</t>
  </si>
  <si>
    <t>Cardinalidad</t>
  </si>
  <si>
    <t>1:N</t>
  </si>
  <si>
    <t>VEHICULOS</t>
  </si>
  <si>
    <t>CARGAMENTO_VIAJE</t>
  </si>
  <si>
    <t>CARGA</t>
  </si>
  <si>
    <t>ROLES</t>
  </si>
  <si>
    <t>ID_Rol</t>
  </si>
  <si>
    <t>ROL_ADM</t>
  </si>
  <si>
    <t>TV_CAM</t>
  </si>
  <si>
    <t>TC_GRA</t>
  </si>
  <si>
    <t>UN_KG</t>
  </si>
  <si>
    <t>MM_PES</t>
  </si>
  <si>
    <t>TC_ALI</t>
  </si>
  <si>
    <t>EST_FIN</t>
  </si>
  <si>
    <t>ID_Tipo_Vehiculo</t>
  </si>
  <si>
    <t>ID_Tipo_Carga</t>
  </si>
  <si>
    <t>ID_Unidad</t>
  </si>
  <si>
    <t>ID_Metodo_Medicion</t>
  </si>
  <si>
    <t>ID_Estado</t>
  </si>
  <si>
    <t>Claves maestras, catálogos operativos y relaciones de integridad referencial</t>
  </si>
  <si>
    <t>Nombre_Rol</t>
  </si>
  <si>
    <t>ESTADOS</t>
  </si>
  <si>
    <t>Nombre_Estado</t>
  </si>
  <si>
    <t>TIPOS DE VEHÍCULO</t>
  </si>
  <si>
    <t>Nombre_Tipo_Vehiculo</t>
  </si>
  <si>
    <t>TIPOS DE CARGA</t>
  </si>
  <si>
    <t>Nombre_Tipo_Carga</t>
  </si>
  <si>
    <t>MÉTODOS DE MEDICIÓN</t>
  </si>
  <si>
    <t>Nombre_Metodo_Medicion</t>
  </si>
  <si>
    <t>UNIDADES</t>
  </si>
  <si>
    <t>Nombre_Unidad</t>
  </si>
  <si>
    <t>MODELO RELACIONAL</t>
  </si>
  <si>
    <t>Uso</t>
  </si>
  <si>
    <t>Tabla_Rol</t>
  </si>
  <si>
    <t>Aplicada</t>
  </si>
  <si>
    <t>Lista</t>
  </si>
  <si>
    <t>Tabla_Tipo_Vehiculo</t>
  </si>
  <si>
    <t>Tabla_Tipo_Carga</t>
  </si>
  <si>
    <t>Tabla_Unidad</t>
  </si>
  <si>
    <t>Tabla_Metodo_Medicion</t>
  </si>
  <si>
    <t>Tabla_Estado</t>
  </si>
  <si>
    <t>ROL_OP</t>
  </si>
  <si>
    <t>Operativo</t>
  </si>
  <si>
    <t>ROL_GEREN</t>
  </si>
  <si>
    <t>Gerencial</t>
  </si>
  <si>
    <t>EST_CURSO</t>
  </si>
  <si>
    <t>En Curso</t>
  </si>
  <si>
    <t>TV_Pala</t>
  </si>
  <si>
    <t>Pala</t>
  </si>
  <si>
    <t>TV_Tractor</t>
  </si>
  <si>
    <t>Tractor</t>
  </si>
  <si>
    <t>TC_MAT</t>
  </si>
  <si>
    <t>Materiales</t>
  </si>
  <si>
    <t>TC_MAQ</t>
  </si>
  <si>
    <t>Maquinaria</t>
  </si>
  <si>
    <t>MM_EST</t>
  </si>
  <si>
    <t>Estimacion</t>
  </si>
  <si>
    <t>UN_LT</t>
  </si>
  <si>
    <t>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</si>
</sst>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8"/>
      <color rgb="FFFFFFFF"/>
      <name val="Aptos"/>
      <family val="2"/>
    </font>
    <font>
      <i/>
      <sz val="11"/>
      <color rgb="FF5B6573"/>
      <name val="Aptos"/>
      <family val="2"/>
    </font>
    <font>
      <b/>
      <sz val="11"/>
      <color rgb="FF17365D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0" fontId="3" fillId="0" borderId="0" xfId="1"/>
    <xf numFmtId="0" fontId="0" fillId="0" borderId="0" xfId="0" applyAlignment="1">
      <alignment wrapText="1"/>
    </xf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wrapText="1"/>
    </xf>
    <xf numFmtId="0" fontId="6" fillId="0" borderId="0" xfId="0" applyFont="1"/>
    <xf numFmtId="0" fontId="9" fillId="4" borderId="0" xfId="0" applyFont="1" applyFill="1"/>
    <xf numFmtId="0" fontId="7" fillId="3" borderId="0" xfId="0" applyFont="1" applyFill="1"/>
    <xf numFmtId="0" fontId="8" fillId="0" borderId="0" xfId="0" applyFont="1"/>
    <xf numFmtId="0" fontId="9" fillId="4" borderId="0" xfId="0" applyFont="1" applyFill="1"/>
  </cellXfs>
  <cellStyles count="2">
    <cellStyle name="Hipervínculo" xfId="1" builtinId="8"/>
    <cellStyle name="Normal" xfId="0" builtinId="0"/>
  </cellStyles>
  <dxfs count="48"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30" formatCode="@"/>
    </dxf>
    <dxf>
      <numFmt numFmtId="1" formatCode="0"/>
    </dxf>
    <dxf>
      <numFmt numFmtId="1" formatCode="0"/>
    </dxf>
    <dxf>
      <numFmt numFmtId="164" formatCode="m/d/yy\ h:mm;@"/>
    </dxf>
    <dxf>
      <numFmt numFmtId="164" formatCode="m/d/yy\ h:mm;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10A7F-231C-4B61-93FA-782E84EC317D}" name="Tabla1" displayName="Tabla1" ref="A1:F2" totalsRowShown="0" headerRowDxfId="44">
  <autoFilter ref="A1:F2" xr:uid="{35110A7F-231C-4B61-93FA-782E84EC317D}"/>
  <tableColumns count="6">
    <tableColumn id="6" xr3:uid="{049D7BFC-E6B9-4E76-81FD-28960FD82E79}" name="ID_Usuario" dataDxfId="43" dataCellStyle="Hipervínculo"/>
    <tableColumn id="1" xr3:uid="{5EFCEBB9-FE26-4002-974B-BCADA9AD169D}" name="Email" dataCellStyle="Hipervínculo"/>
    <tableColumn id="2" xr3:uid="{BB43A073-8221-4A5C-9103-7E20CBDE4DBA}" name="Nombre"/>
    <tableColumn id="3" xr3:uid="{994C87A0-7C4C-4ADB-B811-D568F020C065}" name="Apellido"/>
    <tableColumn id="4" xr3:uid="{DF49AE84-DE4F-47C4-9CEF-30FEACE1E553}" name="ID_Rol"/>
    <tableColumn id="5" xr3:uid="{CA24CBF1-65CE-423B-A67A-64DBB72B6519}" name="Activ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5D53AF-2535-4495-AB29-5D03FD9BF141}" name="Tabla2" displayName="Tabla2" ref="A1:H3" totalsRowShown="0" headerRowDxfId="42">
  <autoFilter ref="A1:H3" xr:uid="{DB5D53AF-2535-4495-AB29-5D03FD9BF141}"/>
  <tableColumns count="8">
    <tableColumn id="1" xr3:uid="{624B1432-EC56-4216-8AE9-6EDF1A9547E8}" name="ID_Vehiculo"/>
    <tableColumn id="2" xr3:uid="{5843D287-A701-4AEA-A5F2-B74899D61429}" name="Nombre_Vehiculo"/>
    <tableColumn id="3" xr3:uid="{0614327E-38C8-4157-B24E-C11D5B2DE5F7}" name="ID_Tipo_Vehiculo"/>
    <tableColumn id="4" xr3:uid="{3C87D286-5CC4-4A78-B17D-C6D6F3B6CFB0}" name="Marca"/>
    <tableColumn id="5" xr3:uid="{161B4FEB-8C81-499C-A48A-4C0925E53C65}" name="Modelo"/>
    <tableColumn id="6" xr3:uid="{05110BA4-8F2B-43E4-A9C1-66D3588080D9}" name="Año"/>
    <tableColumn id="8" xr3:uid="{5440F53A-0073-413F-8971-F041DA46945C}" name="Activo"/>
    <tableColumn id="9" xr3:uid="{FA5B51FD-BF0A-4C14-A632-8CE1EBA7B3AE}" name="Observacion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72B9D4-7B0E-4C99-A3BF-D428C2927DB8}" name="Tabla3" displayName="Tabla3" ref="A1:G4" totalsRowShown="0" headerRowDxfId="41">
  <autoFilter ref="A1:G4" xr:uid="{1C72B9D4-7B0E-4C99-A3BF-D428C2927DB8}"/>
  <tableColumns count="7">
    <tableColumn id="1" xr3:uid="{51E326DA-DE28-4139-B273-042C0D93240D}" name="ID_Carga"/>
    <tableColumn id="2" xr3:uid="{D3E9694F-A490-4D61-B584-B67B43A18274}" name="Nombre_Carga"/>
    <tableColumn id="3" xr3:uid="{AF75EF28-04B3-4A03-86B5-8186A307E20F}" name="ID_Tipo_Carga"/>
    <tableColumn id="4" xr3:uid="{81B2AB20-0013-452F-947E-D3AD5B161024}" name="ID_Unidad"/>
    <tableColumn id="5" xr3:uid="{1D99D1CA-9331-4EBF-A465-6595E52A4804}" name="ID_Metodo_Medicion"/>
    <tableColumn id="6" xr3:uid="{9EFF0CA6-BAE6-4950-8BAD-4CCAAF1EB567}" name="Activo"/>
    <tableColumn id="7" xr3:uid="{97D7869A-01E9-4EC8-B03F-354153DE84D6}" name="Observacion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9C50A9-0C52-4D82-9FCB-6988FCF300ED}" name="Tabla4" displayName="Tabla4" ref="A1:I5" totalsRowShown="0" headerRowDxfId="40">
  <autoFilter ref="A1:I5" xr:uid="{A29C50A9-0C52-4D82-9FCB-6988FCF300ED}"/>
  <tableColumns count="9">
    <tableColumn id="1" xr3:uid="{3F8CC7D4-24A4-4C21-9CFE-6D4058DC1BDD}" name="ID_Lugar"/>
    <tableColumn id="2" xr3:uid="{6540154E-41B9-4788-B993-1FD52C373CA9}" name="Nombre_Lugar"/>
    <tableColumn id="3" xr3:uid="{C29521EE-B242-4218-A1C1-29223C40A104}" name="Tipo_Lugar"/>
    <tableColumn id="4" xr3:uid="{DA8FA256-11E6-49C7-A02A-F45505C154E9}" name="Ubicacion"/>
    <tableColumn id="7" xr3:uid="{3D5E1D71-6C10-4B3C-B514-9C1476870105}" name="Provincia"/>
    <tableColumn id="8" xr3:uid="{60769C95-86FB-4BA5-A16E-78F6B63BD42E}" name="País"/>
    <tableColumn id="9" xr3:uid="{7DF757A3-D922-4877-B6EB-79DAD3613C6B}" name="latitud/longitud"/>
    <tableColumn id="5" xr3:uid="{FEC855D1-DD42-49C2-84D5-7F3D33DC3094}" name="Activo"/>
    <tableColumn id="6" xr3:uid="{230A69CA-3E07-4C3D-9D63-9970CADEC617}" name="Observacion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426025-6A44-4E92-A46E-FF13CB315B96}" name="Tabla5" displayName="Tabla5" ref="A1:M3" totalsRowShown="0" headerRowDxfId="39">
  <autoFilter ref="A1:M3" xr:uid="{B6426025-6A44-4E92-A46E-FF13CB315B96}"/>
  <tableColumns count="13">
    <tableColumn id="1" xr3:uid="{83726B7C-77E7-4A79-9333-AA4F9CF9EDE8}" name="ID_Viaje" dataDxfId="38"/>
    <tableColumn id="2" xr3:uid="{11624C72-BD0D-43E4-B899-3ED7DBD3E477}" name="Fecha_Hora_Salida" dataDxfId="37"/>
    <tableColumn id="3" xr3:uid="{0E75B556-1855-42B8-AFFC-1A7F21A78F4A}" name="Fecha_Hora_Llegada" dataDxfId="36"/>
    <tableColumn id="4" xr3:uid="{64221D82-F51E-4DF0-A15C-0B7AD607023A}" name="Usuario_Salida_ID"/>
    <tableColumn id="5" xr3:uid="{B5E47FDE-33BC-466D-9B70-A45E40457663}" name="Usuario_Cierre_ID"/>
    <tableColumn id="6" xr3:uid="{705088E0-38D1-4B37-A9FE-0FFB605DE6EC}" name="ID_Vehiculo"/>
    <tableColumn id="7" xr3:uid="{9097B4ED-3128-4E0B-8A55-7C20CD85E116}" name="ID_Origen"/>
    <tableColumn id="8" xr3:uid="{85849DD9-4B37-4AC8-A409-55E16FAFAC79}" name="ID_Destino"/>
    <tableColumn id="9" xr3:uid="{BC70167E-56C5-42FA-9898-0D87EAD6DA60}" name="Odometro_Inicial" dataDxfId="35"/>
    <tableColumn id="10" xr3:uid="{33DB45D2-7D02-43AA-A011-7A0CF5BCC8F4}" name="Odometro_Final"/>
    <tableColumn id="11" xr3:uid="{7FCF61C0-CD2E-437B-BC0A-89A3196BE40C}" name="Km_Recorridos" dataDxfId="34"/>
    <tableColumn id="12" xr3:uid="{FF50267C-84AC-442A-B3DC-B29F3A9A8729}" name="ID_Estado"/>
    <tableColumn id="13" xr3:uid="{6DE0F078-C7DB-4C91-B179-3D0DAB940810}" name="Observaciones" dataDxfId="3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824934-60A0-4D2D-A4F6-6F1D5851A14B}" name="Tabla6" displayName="Tabla6" ref="A1:G3" totalsRowShown="0" headerRowDxfId="47">
  <autoFilter ref="A1:G3" xr:uid="{92824934-60A0-4D2D-A4F6-6F1D5851A14B}"/>
  <tableColumns count="7">
    <tableColumn id="1" xr3:uid="{06525E21-FDCD-43F2-A51B-BC343BE95F63}" name="ID_Cargamento"/>
    <tableColumn id="2" xr3:uid="{B84EA9D7-E5B5-494D-94E7-81C0635EC1CC}" name="ID_Viaje" dataDxfId="46"/>
    <tableColumn id="3" xr3:uid="{7B35D160-BC21-42C0-BC93-551BA0212D87}" name="ID_Carga" dataDxfId="45"/>
    <tableColumn id="4" xr3:uid="{6964BF12-977C-4194-8AFE-F178CD37184D}" name="Cantidad"/>
    <tableColumn id="5" xr3:uid="{63E358B2-6206-4EFB-9F0D-C6C112061597}" name="Peso_en_destino"/>
    <tableColumn id="6" xr3:uid="{29E6E901-B0BC-4232-A9BC-F492A4889D07}" name="Peso_Estimado"/>
    <tableColumn id="7" xr3:uid="{8736BCFA-0C75-4FBA-A422-93FA2D19AE3A}" name="Observacion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9640B08-DE7C-4B4C-9B30-CD2928D82386}" name="Tabla_Rol" displayName="Tabla_Rol" ref="A5:B8" totalsRowShown="0" headerRowDxfId="32" dataDxfId="31">
  <autoFilter ref="A5:B8" xr:uid="{19640B08-DE7C-4B4C-9B30-CD2928D82386}"/>
  <tableColumns count="2">
    <tableColumn id="1" xr3:uid="{5D2A443C-F6B7-4BE9-8229-57439B0779FB}" name="ID_Rol" dataDxfId="30"/>
    <tableColumn id="2" xr3:uid="{BDE9C341-03B7-494C-AE13-B8283C9193DF}" name="Nombre_Rol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E49FC47-0006-489C-BC08-5A3896FBD5EA}" name="Tabla_Estado" displayName="Tabla_Estado" ref="D5:E7" totalsRowShown="0" headerRowDxfId="28" dataDxfId="27">
  <autoFilter ref="D5:E7" xr:uid="{9E49FC47-0006-489C-BC08-5A3896FBD5EA}"/>
  <tableColumns count="2">
    <tableColumn id="1" xr3:uid="{F6A51B55-F48C-4168-9C32-A21710BF7ECB}" name="ID_Estado" dataDxfId="26"/>
    <tableColumn id="2" xr3:uid="{C61D0A42-3C08-4E00-9848-F5B09359D6B8}" name="Nombre_Estado" dataDxfId="2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6071F06-F2D8-4D10-AE8B-ACAD1D8155C3}" name="Tabla_Tipo_Vehiculo" displayName="Tabla_Tipo_Vehiculo" ref="G5:H8" totalsRowShown="0" headerRowDxfId="24" dataDxfId="23">
  <autoFilter ref="G5:H8" xr:uid="{86071F06-F2D8-4D10-AE8B-ACAD1D8155C3}"/>
  <tableColumns count="2">
    <tableColumn id="1" xr3:uid="{94BC16D0-0545-49DC-BF8A-5279A2414131}" name="ID_Tipo_Vehiculo" dataDxfId="22"/>
    <tableColumn id="2" xr3:uid="{7F686246-5F9E-4B98-B970-B7E0E869A07C}" name="Nombre_Tipo_Vehiculo" dataDxfId="2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46BD404-9EA8-42F8-81A5-79D94F4D3C29}" name="Tabla_Tipo_Carga" displayName="Tabla_Tipo_Carga" ref="J5:K9" totalsRowShown="0" headerRowDxfId="20" dataDxfId="19">
  <autoFilter ref="J5:K9" xr:uid="{B46BD404-9EA8-42F8-81A5-79D94F4D3C29}"/>
  <tableColumns count="2">
    <tableColumn id="1" xr3:uid="{1445DDC1-A925-4BDC-B31E-70CB92BB1E04}" name="ID_Tipo_Carga" dataDxfId="18"/>
    <tableColumn id="2" xr3:uid="{2ABD7045-3F46-493E-9C4A-641169DC48E1}" name="Nombre_Tipo_Carga" dataDxfId="1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445405E-CE29-49B9-AF4E-BF217A0D9CA9}" name="Tabla_Metodo_Medicion" displayName="Tabla_Metodo_Medicion" ref="M5:N7" totalsRowShown="0" headerRowDxfId="16" dataDxfId="15">
  <autoFilter ref="M5:N7" xr:uid="{F445405E-CE29-49B9-AF4E-BF217A0D9CA9}"/>
  <tableColumns count="2">
    <tableColumn id="1" xr3:uid="{9449AAED-4BA2-4187-977C-E005940AD49F}" name="ID_Metodo_Medicion" dataDxfId="14"/>
    <tableColumn id="2" xr3:uid="{18BDB4AC-F740-4CD0-AA28-B1487041DE11}" name="Nombre_Metodo_Medicion" dataDxfId="1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59BA94B-F04F-40A8-93C7-C7E78B1C59C3}" name="Tabla_Unidad" displayName="Tabla_Unidad" ref="P5:Q7" totalsRowShown="0" headerRowDxfId="12" dataDxfId="11">
  <autoFilter ref="P5:Q7" xr:uid="{B59BA94B-F04F-40A8-93C7-C7E78B1C59C3}"/>
  <tableColumns count="2">
    <tableColumn id="1" xr3:uid="{D4FF631B-DB97-4C2D-94EE-8D48671C3205}" name="ID_Unidad" dataDxfId="10"/>
    <tableColumn id="2" xr3:uid="{9F9F18A0-C3AF-4558-BFEE-1DD4385BD7D6}" name="Nombre_Unidad" dataDxfId="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E7158EB-2D8F-4F01-8E23-1D5DAA1F2579}" name="ModeloRelacional" displayName="ModeloRelacional" ref="S5:Y18" totalsRowShown="0" headerRowDxfId="8" dataDxfId="7">
  <autoFilter ref="S5:Y18" xr:uid="{1E7158EB-2D8F-4F01-8E23-1D5DAA1F2579}"/>
  <tableColumns count="7">
    <tableColumn id="1" xr3:uid="{C3EA2704-8021-454A-A012-9D167C44B584}" name="Tabla padre" dataDxfId="6"/>
    <tableColumn id="2" xr3:uid="{615C8E56-356D-462C-B8DB-4FD2F8CA0CA1}" name="PK" dataDxfId="5"/>
    <tableColumn id="3" xr3:uid="{65D0FBBC-4343-4CA5-84ED-92315D4AB0AC}" name="Tabla hija" dataDxfId="4"/>
    <tableColumn id="4" xr3:uid="{88925885-2DCA-456F-9D96-225021453B1A}" name="FK" dataDxfId="3"/>
    <tableColumn id="5" xr3:uid="{1C99B745-F55A-4C96-B47F-140CF755C651}" name="Cardinalidad" dataDxfId="2"/>
    <tableColumn id="6" xr3:uid="{C734DC4A-7F73-4487-9363-058A0261A474}" name="Estado" dataDxfId="1"/>
    <tableColumn id="7" xr3:uid="{98809A87-4C4D-46B3-8628-653A4A4BDBD6}" name="U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varga@ubp.edu.a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 activeCell="B11" sqref="B11"/>
    </sheetView>
  </sheetViews>
  <sheetFormatPr baseColWidth="10" defaultColWidth="8.88671875" defaultRowHeight="14.4" x14ac:dyDescent="0.3"/>
  <cols>
    <col min="1" max="2" width="28" customWidth="1"/>
    <col min="3" max="4" width="12" customWidth="1"/>
    <col min="5" max="5" width="16" customWidth="1"/>
    <col min="6" max="6" width="12" customWidth="1"/>
  </cols>
  <sheetData>
    <row r="1" spans="1:6" x14ac:dyDescent="0.3">
      <c r="A1" s="7" t="s">
        <v>71</v>
      </c>
      <c r="B1" s="1" t="s">
        <v>0</v>
      </c>
      <c r="C1" s="1" t="s">
        <v>1</v>
      </c>
      <c r="D1" s="1" t="s">
        <v>2</v>
      </c>
      <c r="E1" s="1" t="s">
        <v>101</v>
      </c>
      <c r="F1" s="1" t="s">
        <v>3</v>
      </c>
    </row>
    <row r="2" spans="1:6" x14ac:dyDescent="0.3">
      <c r="A2" t="s">
        <v>72</v>
      </c>
      <c r="B2" s="5" t="s">
        <v>51</v>
      </c>
      <c r="C2" t="s">
        <v>4</v>
      </c>
      <c r="D2" t="s">
        <v>50</v>
      </c>
      <c r="E2" t="s">
        <v>102</v>
      </c>
      <c r="F2" t="b">
        <v>1</v>
      </c>
    </row>
  </sheetData>
  <dataValidations count="1">
    <dataValidation type="list" allowBlank="1" showInputMessage="1" showErrorMessage="1" errorTitle="ID no válido" error="Seleccione un ID existente del catálogo relacionado." sqref="E2:E1000" xr:uid="{370BBAFC-B1B5-4F48-B144-79FBC6F0BF59}">
      <formula1>ListaRoles</formula1>
    </dataValidation>
  </dataValidations>
  <hyperlinks>
    <hyperlink ref="B2" r:id="rId1" xr:uid="{1968960D-1EC6-4387-A188-CA4BA276230E}"/>
  </hyperlinks>
  <pageMargins left="0.75" right="0.75" top="1" bottom="1" header="0.5" footer="0.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pane ySplit="1" topLeftCell="A2" activePane="bottomLeft" state="frozen"/>
      <selection pane="bottomLeft" activeCell="F8" sqref="F8"/>
    </sheetView>
  </sheetViews>
  <sheetFormatPr baseColWidth="10" defaultColWidth="8.88671875" defaultRowHeight="14.4" x14ac:dyDescent="0.3"/>
  <cols>
    <col min="1" max="1" width="13" customWidth="1"/>
    <col min="2" max="2" width="20.77734375" bestFit="1" customWidth="1"/>
    <col min="3" max="3" width="17.44140625" bestFit="1" customWidth="1"/>
    <col min="4" max="7" width="12" customWidth="1"/>
    <col min="8" max="8" width="15.109375" customWidth="1"/>
  </cols>
  <sheetData>
    <row r="1" spans="1:8" x14ac:dyDescent="0.3">
      <c r="A1" s="1" t="s">
        <v>6</v>
      </c>
      <c r="B1" s="1" t="s">
        <v>58</v>
      </c>
      <c r="C1" s="1" t="s">
        <v>109</v>
      </c>
      <c r="D1" s="1" t="s">
        <v>7</v>
      </c>
      <c r="E1" s="1" t="s">
        <v>8</v>
      </c>
      <c r="F1" s="1" t="s">
        <v>9</v>
      </c>
      <c r="G1" s="1" t="s">
        <v>3</v>
      </c>
      <c r="H1" s="1" t="s">
        <v>10</v>
      </c>
    </row>
    <row r="2" spans="1:8" x14ac:dyDescent="0.3">
      <c r="A2" t="s">
        <v>11</v>
      </c>
      <c r="B2" t="s">
        <v>59</v>
      </c>
      <c r="C2" t="s">
        <v>103</v>
      </c>
      <c r="D2" t="s">
        <v>13</v>
      </c>
      <c r="E2" t="s">
        <v>14</v>
      </c>
      <c r="F2">
        <v>2020</v>
      </c>
      <c r="G2" t="b">
        <v>1</v>
      </c>
    </row>
    <row r="3" spans="1:8" x14ac:dyDescent="0.3">
      <c r="A3" t="s">
        <v>15</v>
      </c>
      <c r="B3" t="s">
        <v>60</v>
      </c>
      <c r="C3" t="s">
        <v>103</v>
      </c>
      <c r="D3" t="s">
        <v>13</v>
      </c>
      <c r="E3" t="s">
        <v>16</v>
      </c>
      <c r="F3">
        <v>2022</v>
      </c>
      <c r="G3" t="b">
        <v>1</v>
      </c>
    </row>
  </sheetData>
  <dataValidations count="1">
    <dataValidation type="list" allowBlank="1" showInputMessage="1" showErrorMessage="1" errorTitle="ID no válido" error="Seleccione un ID existente del catálogo relacionado." sqref="C2:C1000" xr:uid="{CA6DE2ED-EDBF-4495-91A1-20BEFCE231FF}">
      <formula1>ListaTiposVehiculo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pane ySplit="1" topLeftCell="A2" activePane="bottomLeft" state="frozen"/>
      <selection pane="bottomLeft" activeCell="F11" sqref="F11"/>
    </sheetView>
  </sheetViews>
  <sheetFormatPr baseColWidth="10" defaultColWidth="8.88671875" defaultRowHeight="14.4" x14ac:dyDescent="0.3"/>
  <cols>
    <col min="1" max="1" width="13" customWidth="1"/>
    <col min="2" max="2" width="17" customWidth="1"/>
    <col min="3" max="3" width="15" customWidth="1"/>
    <col min="4" max="4" width="17" customWidth="1"/>
    <col min="5" max="5" width="18.5546875" customWidth="1"/>
    <col min="6" max="6" width="12" customWidth="1"/>
    <col min="7" max="7" width="15.109375" customWidth="1"/>
  </cols>
  <sheetData>
    <row r="1" spans="1:7" x14ac:dyDescent="0.3">
      <c r="A1" s="1" t="s">
        <v>43</v>
      </c>
      <c r="B1" s="1" t="s">
        <v>61</v>
      </c>
      <c r="C1" s="1" t="s">
        <v>110</v>
      </c>
      <c r="D1" s="1" t="s">
        <v>111</v>
      </c>
      <c r="E1" s="1" t="s">
        <v>112</v>
      </c>
      <c r="F1" s="1" t="s">
        <v>3</v>
      </c>
      <c r="G1" s="1" t="s">
        <v>10</v>
      </c>
    </row>
    <row r="2" spans="1:7" x14ac:dyDescent="0.3">
      <c r="A2" t="s">
        <v>17</v>
      </c>
      <c r="B2" t="s">
        <v>18</v>
      </c>
      <c r="C2" t="s">
        <v>104</v>
      </c>
      <c r="D2" t="s">
        <v>105</v>
      </c>
      <c r="E2" t="s">
        <v>106</v>
      </c>
      <c r="F2" t="b">
        <v>1</v>
      </c>
    </row>
    <row r="3" spans="1:7" x14ac:dyDescent="0.3">
      <c r="A3" t="s">
        <v>21</v>
      </c>
      <c r="B3" t="s">
        <v>22</v>
      </c>
      <c r="C3" t="s">
        <v>104</v>
      </c>
      <c r="D3" t="s">
        <v>105</v>
      </c>
      <c r="E3" t="s">
        <v>106</v>
      </c>
      <c r="F3" t="b">
        <v>1</v>
      </c>
    </row>
    <row r="4" spans="1:7" x14ac:dyDescent="0.3">
      <c r="A4" t="s">
        <v>23</v>
      </c>
      <c r="B4" t="s">
        <v>24</v>
      </c>
      <c r="C4" t="s">
        <v>107</v>
      </c>
      <c r="D4" t="s">
        <v>105</v>
      </c>
      <c r="E4" t="s">
        <v>106</v>
      </c>
      <c r="F4" t="b">
        <v>1</v>
      </c>
    </row>
  </sheetData>
  <dataValidations count="4">
    <dataValidation allowBlank="1" sqref="E1 E1001:E1048576" xr:uid="{9F6DC724-53E7-4B19-AF53-EAC64C29ECBF}"/>
    <dataValidation type="list" allowBlank="1" showInputMessage="1" showErrorMessage="1" errorTitle="ID no válido" error="Seleccione un ID existente del catálogo relacionado." sqref="C2:C1000" xr:uid="{9708663E-FA36-4155-83C6-D8A428C899DF}">
      <formula1>ListaTiposCarga</formula1>
    </dataValidation>
    <dataValidation type="list" allowBlank="1" showInputMessage="1" showErrorMessage="1" errorTitle="ID no válido" error="Seleccione un ID existente del catálogo relacionado." sqref="D2:D1000" xr:uid="{39820A1E-1B69-475E-A89C-737EB714221C}">
      <formula1>ListaUnidades</formula1>
    </dataValidation>
    <dataValidation type="list" allowBlank="1" showInputMessage="1" showErrorMessage="1" errorTitle="ID no válido" error="Seleccione un ID existente del catálogo relacionado." sqref="E2:E1000" xr:uid="{22AF9120-F482-4AF1-90FF-91550ACAFDA0}">
      <formula1>ListaMetodosMedicion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8671875" defaultRowHeight="14.4" x14ac:dyDescent="0.3"/>
  <cols>
    <col min="1" max="1" width="20.109375" customWidth="1"/>
    <col min="2" max="2" width="19" customWidth="1"/>
    <col min="3" max="3" width="12.21875" customWidth="1"/>
    <col min="4" max="4" width="27" customWidth="1"/>
    <col min="5" max="5" width="13.21875" bestFit="1" customWidth="1"/>
    <col min="6" max="6" width="8.77734375" bestFit="1" customWidth="1"/>
    <col min="7" max="7" width="18.77734375" bestFit="1" customWidth="1"/>
    <col min="8" max="8" width="12" customWidth="1"/>
    <col min="9" max="9" width="15.109375" customWidth="1"/>
  </cols>
  <sheetData>
    <row r="1" spans="1:9" x14ac:dyDescent="0.3">
      <c r="A1" s="1" t="s">
        <v>26</v>
      </c>
      <c r="B1" s="1" t="s">
        <v>27</v>
      </c>
      <c r="C1" s="1" t="s">
        <v>28</v>
      </c>
      <c r="D1" s="1" t="s">
        <v>29</v>
      </c>
      <c r="E1" s="7" t="s">
        <v>78</v>
      </c>
      <c r="F1" s="7" t="s">
        <v>79</v>
      </c>
      <c r="G1" s="1" t="s">
        <v>81</v>
      </c>
      <c r="H1" s="1" t="s">
        <v>3</v>
      </c>
      <c r="I1" s="1" t="s">
        <v>10</v>
      </c>
    </row>
    <row r="2" spans="1:9" x14ac:dyDescent="0.3">
      <c r="A2" t="s">
        <v>30</v>
      </c>
      <c r="B2" t="s">
        <v>31</v>
      </c>
      <c r="C2" t="s">
        <v>32</v>
      </c>
      <c r="D2" t="s">
        <v>73</v>
      </c>
      <c r="E2" t="s">
        <v>76</v>
      </c>
      <c r="F2" t="s">
        <v>80</v>
      </c>
      <c r="H2" t="b">
        <v>1</v>
      </c>
    </row>
    <row r="3" spans="1:9" x14ac:dyDescent="0.3">
      <c r="A3" t="s">
        <v>64</v>
      </c>
      <c r="B3" t="s">
        <v>47</v>
      </c>
      <c r="C3" t="s">
        <v>33</v>
      </c>
      <c r="D3" t="s">
        <v>74</v>
      </c>
      <c r="E3" t="s">
        <v>77</v>
      </c>
      <c r="F3" t="s">
        <v>80</v>
      </c>
      <c r="H3" t="b">
        <v>1</v>
      </c>
    </row>
    <row r="4" spans="1:9" x14ac:dyDescent="0.3">
      <c r="A4" t="s">
        <v>63</v>
      </c>
      <c r="B4" t="s">
        <v>46</v>
      </c>
      <c r="C4" t="s">
        <v>34</v>
      </c>
      <c r="D4" t="s">
        <v>75</v>
      </c>
      <c r="E4" t="s">
        <v>77</v>
      </c>
      <c r="F4" t="s">
        <v>80</v>
      </c>
      <c r="H4" t="b">
        <v>1</v>
      </c>
    </row>
    <row r="5" spans="1:9" x14ac:dyDescent="0.3">
      <c r="A5" t="s">
        <v>67</v>
      </c>
      <c r="B5" t="s">
        <v>62</v>
      </c>
      <c r="C5" t="s">
        <v>65</v>
      </c>
      <c r="D5" t="s">
        <v>75</v>
      </c>
      <c r="E5" t="s">
        <v>77</v>
      </c>
      <c r="F5" t="s">
        <v>80</v>
      </c>
      <c r="H5" t="b">
        <v>1</v>
      </c>
    </row>
  </sheetData>
  <phoneticPr fontId="2" type="noConversion"/>
  <dataValidations count="1">
    <dataValidation type="list" allowBlank="1" sqref="C10:C500 C2:C8" xr:uid="{00000000-0002-0000-0400-000000000000}">
      <formula1>"Campo,Acopio,Tambo,Feedlot,Planta,Puerto,Taller,Otro"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"/>
  <sheetViews>
    <sheetView topLeftCell="C1" workbookViewId="0">
      <pane ySplit="1" topLeftCell="A2" activePane="bottomLeft" state="frozen"/>
      <selection pane="bottomLeft" activeCell="N9" sqref="N9"/>
    </sheetView>
  </sheetViews>
  <sheetFormatPr baseColWidth="10" defaultColWidth="8.88671875" defaultRowHeight="14.4" x14ac:dyDescent="0.3"/>
  <cols>
    <col min="1" max="1" width="12" customWidth="1"/>
    <col min="2" max="2" width="19" customWidth="1"/>
    <col min="3" max="3" width="20.21875" customWidth="1"/>
    <col min="4" max="4" width="28.33203125" customWidth="1"/>
    <col min="5" max="5" width="36.109375" customWidth="1"/>
    <col min="6" max="6" width="12" customWidth="1"/>
    <col min="7" max="7" width="13" customWidth="1"/>
    <col min="8" max="8" width="12" customWidth="1"/>
    <col min="9" max="9" width="18" customWidth="1"/>
    <col min="10" max="10" width="16.44140625" customWidth="1"/>
    <col min="11" max="11" width="15.5546875" customWidth="1"/>
    <col min="12" max="12" width="12" customWidth="1"/>
    <col min="13" max="13" width="15.109375" customWidth="1"/>
  </cols>
  <sheetData>
    <row r="1" spans="1:13" x14ac:dyDescent="0.3">
      <c r="A1" s="1" t="s">
        <v>35</v>
      </c>
      <c r="B1" s="1" t="s">
        <v>36</v>
      </c>
      <c r="C1" s="1" t="s">
        <v>37</v>
      </c>
      <c r="D1" s="1" t="s">
        <v>83</v>
      </c>
      <c r="E1" s="1" t="s">
        <v>84</v>
      </c>
      <c r="F1" s="1" t="s">
        <v>6</v>
      </c>
      <c r="G1" s="1" t="s">
        <v>85</v>
      </c>
      <c r="H1" s="1" t="s">
        <v>86</v>
      </c>
      <c r="I1" s="1" t="s">
        <v>38</v>
      </c>
      <c r="J1" s="1" t="s">
        <v>39</v>
      </c>
      <c r="K1" s="1" t="s">
        <v>40</v>
      </c>
      <c r="L1" s="1" t="s">
        <v>113</v>
      </c>
      <c r="M1" s="1" t="s">
        <v>10</v>
      </c>
    </row>
    <row r="2" spans="1:13" x14ac:dyDescent="0.3">
      <c r="A2" s="2" t="s">
        <v>54</v>
      </c>
      <c r="B2" s="3">
        <v>46257.723692129599</v>
      </c>
      <c r="C2" s="3">
        <v>46257.75</v>
      </c>
      <c r="D2" t="s">
        <v>72</v>
      </c>
      <c r="E2" t="s">
        <v>72</v>
      </c>
      <c r="F2" t="s">
        <v>11</v>
      </c>
      <c r="G2" t="s">
        <v>67</v>
      </c>
      <c r="H2" t="s">
        <v>63</v>
      </c>
      <c r="I2" s="4">
        <v>2425</v>
      </c>
      <c r="J2">
        <v>2430</v>
      </c>
      <c r="K2" s="4">
        <v>5</v>
      </c>
      <c r="L2" t="s">
        <v>108</v>
      </c>
      <c r="M2" s="2" t="s">
        <v>49</v>
      </c>
    </row>
    <row r="3" spans="1:13" x14ac:dyDescent="0.3">
      <c r="A3" s="2" t="s">
        <v>55</v>
      </c>
      <c r="B3" s="3">
        <v>46257.791666666701</v>
      </c>
      <c r="C3" s="3">
        <v>46257.851458333302</v>
      </c>
      <c r="D3" t="s">
        <v>72</v>
      </c>
      <c r="E3" t="s">
        <v>72</v>
      </c>
      <c r="F3" t="s">
        <v>11</v>
      </c>
      <c r="G3" t="s">
        <v>67</v>
      </c>
      <c r="H3" t="s">
        <v>64</v>
      </c>
      <c r="I3" s="4">
        <v>2440</v>
      </c>
      <c r="J3">
        <v>2490</v>
      </c>
      <c r="K3" s="4">
        <v>50</v>
      </c>
      <c r="L3" t="s">
        <v>108</v>
      </c>
      <c r="M3" s="2" t="s">
        <v>48</v>
      </c>
    </row>
    <row r="4" spans="1:13" x14ac:dyDescent="0.3">
      <c r="A4" s="2"/>
      <c r="B4" s="3"/>
      <c r="C4" s="3"/>
      <c r="I4" s="4"/>
      <c r="K4" s="4"/>
      <c r="M4" s="2"/>
    </row>
  </sheetData>
  <phoneticPr fontId="2" type="noConversion"/>
  <dataValidations count="4">
    <dataValidation type="list" allowBlank="1" showInputMessage="1" showErrorMessage="1" errorTitle="ID no válido" error="Seleccione un ID existente del catálogo relacionado." sqref="L2:L1000" xr:uid="{E6F5183D-96C2-493D-80CE-B82A5BC6D750}">
      <formula1>ListaEstados</formula1>
    </dataValidation>
    <dataValidation type="list" allowBlank="1" showInputMessage="1" showErrorMessage="1" errorTitle="ID no válido" error="Seleccione un ID existente del catálogo relacionado." sqref="D2:E1000" xr:uid="{727CDD30-B32B-4761-8B62-AF737D6C0592}">
      <formula1>ListaUsuarios</formula1>
    </dataValidation>
    <dataValidation type="list" allowBlank="1" showInputMessage="1" showErrorMessage="1" errorTitle="ID no válido" error="Seleccione un ID existente del catálogo relacionado." sqref="F2:F1000" xr:uid="{5F90EB5A-81B6-4B60-827B-23BE060C689D}">
      <formula1>ListaVehiculos</formula1>
    </dataValidation>
    <dataValidation type="list" allowBlank="1" showInputMessage="1" showErrorMessage="1" errorTitle="ID no válido" error="Seleccione un ID existente del catálogo relacionado." sqref="G2:H1000" xr:uid="{A0A83F23-D75B-4180-BCE6-5737A720A018}">
      <formula1>ListaLugares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>
      <pane ySplit="1" topLeftCell="A2" activePane="bottomLeft" state="frozen"/>
      <selection pane="bottomLeft" activeCell="F17" sqref="F17"/>
    </sheetView>
  </sheetViews>
  <sheetFormatPr baseColWidth="10" defaultColWidth="8.88671875" defaultRowHeight="14.4" x14ac:dyDescent="0.3"/>
  <cols>
    <col min="1" max="1" width="18.5546875" bestFit="1" customWidth="1"/>
    <col min="2" max="3" width="12" customWidth="1"/>
    <col min="4" max="4" width="13" bestFit="1" customWidth="1"/>
    <col min="5" max="5" width="19.77734375" bestFit="1" customWidth="1"/>
    <col min="6" max="6" width="15.6640625" customWidth="1"/>
    <col min="7" max="7" width="15.109375" customWidth="1"/>
  </cols>
  <sheetData>
    <row r="1" spans="1:7" x14ac:dyDescent="0.3">
      <c r="A1" s="1" t="s">
        <v>53</v>
      </c>
      <c r="B1" s="1" t="s">
        <v>35</v>
      </c>
      <c r="C1" s="1" t="s">
        <v>43</v>
      </c>
      <c r="D1" s="1" t="s">
        <v>44</v>
      </c>
      <c r="E1" s="1" t="s">
        <v>52</v>
      </c>
      <c r="F1" s="1" t="s">
        <v>45</v>
      </c>
      <c r="G1" s="1" t="s">
        <v>10</v>
      </c>
    </row>
    <row r="2" spans="1:7" x14ac:dyDescent="0.3">
      <c r="A2" t="s">
        <v>56</v>
      </c>
      <c r="B2" s="2" t="s">
        <v>54</v>
      </c>
      <c r="C2" s="2" t="s">
        <v>23</v>
      </c>
      <c r="D2">
        <v>19000</v>
      </c>
      <c r="E2">
        <v>19000</v>
      </c>
    </row>
    <row r="3" spans="1:7" x14ac:dyDescent="0.3">
      <c r="A3" t="s">
        <v>57</v>
      </c>
      <c r="B3" s="2" t="s">
        <v>55</v>
      </c>
      <c r="C3" s="2" t="s">
        <v>21</v>
      </c>
      <c r="D3">
        <v>34500</v>
      </c>
      <c r="E3">
        <v>34500</v>
      </c>
    </row>
  </sheetData>
  <dataValidations count="2">
    <dataValidation type="list" allowBlank="1" showInputMessage="1" showErrorMessage="1" errorTitle="ID no válido" error="Seleccione un ID existente del catálogo relacionado." sqref="B2:B1000" xr:uid="{B84CA58F-C4A5-419A-8531-53E61B4F848F}">
      <formula1>ListaViajes</formula1>
    </dataValidation>
    <dataValidation type="list" allowBlank="1" showInputMessage="1" showErrorMessage="1" errorTitle="ID no válido" error="Seleccione un ID existente del catálogo relacionado." sqref="C2:C1000" xr:uid="{BC2E33B7-4842-4DEB-88AA-0FE1212553EF}">
      <formula1>ListaCargas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80E8-F3E0-441F-ADC4-89846146B810}">
  <dimension ref="A1:Y24"/>
  <sheetViews>
    <sheetView workbookViewId="0">
      <selection activeCell="N17" sqref="N17"/>
    </sheetView>
  </sheetViews>
  <sheetFormatPr baseColWidth="10" defaultRowHeight="14.4" x14ac:dyDescent="0.3"/>
  <cols>
    <col min="1" max="1" width="14.44140625" style="9" bestFit="1" customWidth="1"/>
    <col min="2" max="2" width="23.109375" style="9" customWidth="1"/>
    <col min="3" max="3" width="2.21875" style="9" customWidth="1"/>
    <col min="4" max="4" width="16.21875" style="9" bestFit="1" customWidth="1"/>
    <col min="5" max="5" width="17.77734375" style="9" bestFit="1" customWidth="1"/>
    <col min="6" max="6" width="1.88671875" style="9" customWidth="1"/>
    <col min="7" max="7" width="19.6640625" style="9" bestFit="1" customWidth="1"/>
    <col min="8" max="8" width="24.44140625" style="9" bestFit="1" customWidth="1"/>
    <col min="9" max="9" width="2" style="9" customWidth="1"/>
    <col min="10" max="10" width="16.5546875" style="9" bestFit="1" customWidth="1"/>
    <col min="11" max="11" width="22.21875" style="9" customWidth="1"/>
    <col min="12" max="12" width="1.5546875" style="9" customWidth="1"/>
    <col min="13" max="13" width="23.6640625" style="9" bestFit="1" customWidth="1"/>
    <col min="14" max="14" width="25" style="9" customWidth="1"/>
    <col min="15" max="15" width="1.5546875" style="9" customWidth="1"/>
    <col min="16" max="16" width="16.6640625" style="9" customWidth="1"/>
    <col min="17" max="17" width="13.33203125" style="9" customWidth="1"/>
    <col min="18" max="18" width="1.88671875" customWidth="1"/>
    <col min="19" max="19" width="22.21875" bestFit="1" customWidth="1"/>
    <col min="20" max="20" width="19.109375" bestFit="1" customWidth="1"/>
    <col min="21" max="21" width="19.77734375" bestFit="1" customWidth="1"/>
    <col min="22" max="22" width="19.109375" bestFit="1" customWidth="1"/>
    <col min="23" max="23" width="15.21875" bestFit="1" customWidth="1"/>
  </cols>
  <sheetData>
    <row r="1" spans="1:25" ht="23.4" x14ac:dyDescent="0.45">
      <c r="A1" s="11" t="s">
        <v>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25" x14ac:dyDescent="0.3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4" spans="1:25" x14ac:dyDescent="0.3">
      <c r="A4" s="10" t="s">
        <v>100</v>
      </c>
      <c r="B4" s="10"/>
      <c r="D4" s="10" t="s">
        <v>116</v>
      </c>
      <c r="E4" s="10"/>
      <c r="G4" s="10" t="s">
        <v>118</v>
      </c>
      <c r="H4" s="10"/>
      <c r="J4" s="10" t="s">
        <v>120</v>
      </c>
      <c r="K4" s="10"/>
      <c r="M4" s="10" t="s">
        <v>122</v>
      </c>
      <c r="N4" s="10"/>
      <c r="P4" s="10" t="s">
        <v>124</v>
      </c>
      <c r="Q4" s="10"/>
      <c r="S4" s="13" t="s">
        <v>126</v>
      </c>
      <c r="T4" s="13"/>
      <c r="U4" s="13"/>
      <c r="V4" s="13"/>
      <c r="W4" s="13"/>
      <c r="X4" s="13"/>
      <c r="Y4" s="13"/>
    </row>
    <row r="5" spans="1:25" x14ac:dyDescent="0.3">
      <c r="A5" s="9" t="s">
        <v>101</v>
      </c>
      <c r="B5" s="9" t="s">
        <v>115</v>
      </c>
      <c r="D5" s="9" t="s">
        <v>113</v>
      </c>
      <c r="E5" s="9" t="s">
        <v>117</v>
      </c>
      <c r="G5" s="9" t="s">
        <v>109</v>
      </c>
      <c r="H5" s="9" t="s">
        <v>119</v>
      </c>
      <c r="J5" s="9" t="s">
        <v>110</v>
      </c>
      <c r="K5" s="9" t="s">
        <v>121</v>
      </c>
      <c r="M5" s="9" t="s">
        <v>112</v>
      </c>
      <c r="N5" s="9" t="s">
        <v>123</v>
      </c>
      <c r="P5" s="9" t="s">
        <v>111</v>
      </c>
      <c r="Q5" s="9" t="s">
        <v>125</v>
      </c>
      <c r="S5" s="9" t="s">
        <v>91</v>
      </c>
      <c r="T5" s="9" t="s">
        <v>92</v>
      </c>
      <c r="U5" s="9" t="s">
        <v>93</v>
      </c>
      <c r="V5" s="9" t="s">
        <v>94</v>
      </c>
      <c r="W5" s="9" t="s">
        <v>95</v>
      </c>
      <c r="X5" s="9" t="s">
        <v>41</v>
      </c>
      <c r="Y5" s="9" t="s">
        <v>127</v>
      </c>
    </row>
    <row r="6" spans="1:25" x14ac:dyDescent="0.3">
      <c r="A6" s="9" t="s">
        <v>102</v>
      </c>
      <c r="B6" s="9" t="s">
        <v>5</v>
      </c>
      <c r="D6" s="9" t="s">
        <v>108</v>
      </c>
      <c r="E6" s="9" t="s">
        <v>42</v>
      </c>
      <c r="G6" s="9" t="s">
        <v>103</v>
      </c>
      <c r="H6" s="9" t="s">
        <v>12</v>
      </c>
      <c r="J6" s="9" t="s">
        <v>104</v>
      </c>
      <c r="K6" s="9" t="s">
        <v>19</v>
      </c>
      <c r="M6" s="9" t="s">
        <v>106</v>
      </c>
      <c r="N6" s="9" t="s">
        <v>68</v>
      </c>
      <c r="P6" s="9" t="s">
        <v>105</v>
      </c>
      <c r="Q6" s="9" t="s">
        <v>20</v>
      </c>
      <c r="S6" s="9" t="s">
        <v>128</v>
      </c>
      <c r="T6" s="9" t="s">
        <v>101</v>
      </c>
      <c r="U6" s="9" t="s">
        <v>88</v>
      </c>
      <c r="V6" s="9" t="s">
        <v>101</v>
      </c>
      <c r="W6" s="9" t="s">
        <v>96</v>
      </c>
      <c r="X6" s="9" t="s">
        <v>129</v>
      </c>
      <c r="Y6" s="9" t="s">
        <v>130</v>
      </c>
    </row>
    <row r="7" spans="1:25" x14ac:dyDescent="0.3">
      <c r="A7" s="9" t="s">
        <v>136</v>
      </c>
      <c r="B7" s="9" t="s">
        <v>137</v>
      </c>
      <c r="D7" s="9" t="s">
        <v>140</v>
      </c>
      <c r="E7" s="9" t="s">
        <v>141</v>
      </c>
      <c r="G7" s="9" t="s">
        <v>142</v>
      </c>
      <c r="H7" s="9" t="s">
        <v>143</v>
      </c>
      <c r="J7" s="9" t="s">
        <v>107</v>
      </c>
      <c r="K7" s="9" t="s">
        <v>25</v>
      </c>
      <c r="M7" s="9" t="s">
        <v>150</v>
      </c>
      <c r="N7" s="9" t="s">
        <v>151</v>
      </c>
      <c r="P7" s="9" t="s">
        <v>152</v>
      </c>
      <c r="Q7" s="9" t="s">
        <v>153</v>
      </c>
      <c r="S7" s="9" t="s">
        <v>131</v>
      </c>
      <c r="T7" s="9" t="s">
        <v>109</v>
      </c>
      <c r="U7" s="9" t="s">
        <v>97</v>
      </c>
      <c r="V7" s="9" t="s">
        <v>109</v>
      </c>
      <c r="W7" s="9" t="s">
        <v>96</v>
      </c>
      <c r="X7" s="9" t="s">
        <v>129</v>
      </c>
      <c r="Y7" s="9" t="s">
        <v>130</v>
      </c>
    </row>
    <row r="8" spans="1:25" x14ac:dyDescent="0.3">
      <c r="A8" s="9" t="s">
        <v>138</v>
      </c>
      <c r="B8" s="9" t="s">
        <v>139</v>
      </c>
      <c r="G8" s="9" t="s">
        <v>144</v>
      </c>
      <c r="H8" s="9" t="s">
        <v>145</v>
      </c>
      <c r="J8" s="9" t="s">
        <v>146</v>
      </c>
      <c r="K8" s="9" t="s">
        <v>147</v>
      </c>
      <c r="S8" s="9" t="s">
        <v>132</v>
      </c>
      <c r="T8" s="9" t="s">
        <v>110</v>
      </c>
      <c r="U8" s="9" t="s">
        <v>99</v>
      </c>
      <c r="V8" s="9" t="s">
        <v>110</v>
      </c>
      <c r="W8" s="9" t="s">
        <v>96</v>
      </c>
      <c r="X8" s="9" t="s">
        <v>129</v>
      </c>
      <c r="Y8" s="9" t="s">
        <v>130</v>
      </c>
    </row>
    <row r="9" spans="1:25" x14ac:dyDescent="0.3">
      <c r="A9"/>
      <c r="B9"/>
      <c r="C9"/>
      <c r="D9"/>
      <c r="E9"/>
      <c r="F9"/>
      <c r="G9"/>
      <c r="H9"/>
      <c r="J9" s="9" t="s">
        <v>148</v>
      </c>
      <c r="K9" s="9" t="s">
        <v>149</v>
      </c>
      <c r="L9"/>
      <c r="M9"/>
      <c r="N9"/>
      <c r="O9"/>
      <c r="S9" s="9" t="s">
        <v>133</v>
      </c>
      <c r="T9" s="9" t="s">
        <v>111</v>
      </c>
      <c r="U9" s="9" t="s">
        <v>99</v>
      </c>
      <c r="V9" s="9" t="s">
        <v>111</v>
      </c>
      <c r="W9" s="9" t="s">
        <v>96</v>
      </c>
      <c r="X9" s="9" t="s">
        <v>129</v>
      </c>
      <c r="Y9" s="9" t="s">
        <v>130</v>
      </c>
    </row>
    <row r="10" spans="1:25" x14ac:dyDescent="0.3">
      <c r="A10"/>
      <c r="B10"/>
      <c r="C10"/>
      <c r="D10"/>
      <c r="E10"/>
      <c r="F10"/>
      <c r="G10"/>
      <c r="H10"/>
      <c r="J10"/>
      <c r="K10"/>
      <c r="L10"/>
      <c r="M10"/>
      <c r="N10"/>
      <c r="O10"/>
      <c r="S10" s="9" t="s">
        <v>134</v>
      </c>
      <c r="T10" s="9" t="s">
        <v>112</v>
      </c>
      <c r="U10" s="9" t="s">
        <v>99</v>
      </c>
      <c r="V10" s="9" t="s">
        <v>112</v>
      </c>
      <c r="W10" s="9" t="s">
        <v>96</v>
      </c>
      <c r="X10" s="9" t="s">
        <v>129</v>
      </c>
      <c r="Y10" s="9" t="s">
        <v>130</v>
      </c>
    </row>
    <row r="11" spans="1:25" x14ac:dyDescent="0.3">
      <c r="A11"/>
      <c r="B11"/>
      <c r="C11"/>
      <c r="D11"/>
      <c r="E11"/>
      <c r="F11"/>
      <c r="G11"/>
      <c r="H11"/>
      <c r="J11"/>
      <c r="K11"/>
      <c r="L11"/>
      <c r="M11"/>
      <c r="N11"/>
      <c r="O11"/>
      <c r="S11" s="9" t="s">
        <v>135</v>
      </c>
      <c r="T11" s="9" t="s">
        <v>113</v>
      </c>
      <c r="U11" s="9" t="s">
        <v>90</v>
      </c>
      <c r="V11" s="9" t="s">
        <v>113</v>
      </c>
      <c r="W11" s="9" t="s">
        <v>96</v>
      </c>
      <c r="X11" s="9" t="s">
        <v>129</v>
      </c>
      <c r="Y11" s="9" t="s">
        <v>130</v>
      </c>
    </row>
    <row r="12" spans="1:25" x14ac:dyDescent="0.3">
      <c r="A12"/>
      <c r="B12"/>
      <c r="C12"/>
      <c r="D12"/>
      <c r="E12"/>
      <c r="F12"/>
      <c r="G12"/>
      <c r="H12"/>
      <c r="J12"/>
      <c r="K12"/>
      <c r="L12"/>
      <c r="M12"/>
      <c r="N12"/>
      <c r="O12"/>
      <c r="S12" s="9" t="s">
        <v>88</v>
      </c>
      <c r="T12" s="9" t="s">
        <v>71</v>
      </c>
      <c r="U12" s="9" t="s">
        <v>90</v>
      </c>
      <c r="V12" s="9" t="s">
        <v>83</v>
      </c>
      <c r="W12" s="9" t="s">
        <v>96</v>
      </c>
      <c r="X12" s="9" t="s">
        <v>129</v>
      </c>
      <c r="Y12" s="9" t="s">
        <v>130</v>
      </c>
    </row>
    <row r="13" spans="1:25" x14ac:dyDescent="0.3">
      <c r="A13"/>
      <c r="B13"/>
      <c r="C13"/>
      <c r="D13"/>
      <c r="E13"/>
      <c r="F13"/>
      <c r="G13"/>
      <c r="H13"/>
      <c r="J13"/>
      <c r="K13"/>
      <c r="L13"/>
      <c r="M13"/>
      <c r="N13"/>
      <c r="O13"/>
      <c r="S13" s="9" t="s">
        <v>88</v>
      </c>
      <c r="T13" s="9" t="s">
        <v>71</v>
      </c>
      <c r="U13" s="9" t="s">
        <v>90</v>
      </c>
      <c r="V13" s="9" t="s">
        <v>84</v>
      </c>
      <c r="W13" s="9" t="s">
        <v>96</v>
      </c>
      <c r="X13" s="9" t="s">
        <v>129</v>
      </c>
      <c r="Y13" s="9" t="s">
        <v>130</v>
      </c>
    </row>
    <row r="14" spans="1:25" x14ac:dyDescent="0.3">
      <c r="A14"/>
      <c r="B14"/>
      <c r="C14"/>
      <c r="D14"/>
      <c r="E14"/>
      <c r="F14"/>
      <c r="G14"/>
      <c r="H14"/>
      <c r="J14"/>
      <c r="K14"/>
      <c r="L14"/>
      <c r="M14"/>
      <c r="N14"/>
      <c r="O14"/>
      <c r="S14" s="9" t="s">
        <v>97</v>
      </c>
      <c r="T14" s="9" t="s">
        <v>6</v>
      </c>
      <c r="U14" s="9" t="s">
        <v>90</v>
      </c>
      <c r="V14" s="9" t="s">
        <v>6</v>
      </c>
      <c r="W14" s="9" t="s">
        <v>96</v>
      </c>
      <c r="X14" s="9" t="s">
        <v>129</v>
      </c>
      <c r="Y14" s="9" t="s">
        <v>130</v>
      </c>
    </row>
    <row r="15" spans="1:25" x14ac:dyDescent="0.3">
      <c r="A15"/>
      <c r="B15"/>
      <c r="C15"/>
      <c r="D15"/>
      <c r="E15"/>
      <c r="F15"/>
      <c r="G15"/>
      <c r="H15"/>
      <c r="J15"/>
      <c r="K15"/>
      <c r="L15"/>
      <c r="M15"/>
      <c r="N15"/>
      <c r="O15"/>
      <c r="S15" s="9" t="s">
        <v>89</v>
      </c>
      <c r="T15" s="9" t="s">
        <v>26</v>
      </c>
      <c r="U15" s="9" t="s">
        <v>90</v>
      </c>
      <c r="V15" s="9" t="s">
        <v>85</v>
      </c>
      <c r="W15" s="9" t="s">
        <v>96</v>
      </c>
      <c r="X15" s="9" t="s">
        <v>129</v>
      </c>
      <c r="Y15" s="9" t="s">
        <v>130</v>
      </c>
    </row>
    <row r="16" spans="1:25" x14ac:dyDescent="0.3">
      <c r="A16"/>
      <c r="B16"/>
      <c r="C16"/>
      <c r="D16"/>
      <c r="E16"/>
      <c r="F16"/>
      <c r="G16"/>
      <c r="H16"/>
      <c r="I16"/>
      <c r="S16" s="9" t="s">
        <v>89</v>
      </c>
      <c r="T16" s="9" t="s">
        <v>26</v>
      </c>
      <c r="U16" s="9" t="s">
        <v>90</v>
      </c>
      <c r="V16" s="9" t="s">
        <v>86</v>
      </c>
      <c r="W16" s="9" t="s">
        <v>96</v>
      </c>
      <c r="X16" s="9" t="s">
        <v>129</v>
      </c>
      <c r="Y16" s="9" t="s">
        <v>130</v>
      </c>
    </row>
    <row r="17" spans="1:25" x14ac:dyDescent="0.3">
      <c r="A17"/>
      <c r="B17"/>
      <c r="C17"/>
      <c r="D17"/>
      <c r="E17"/>
      <c r="F17"/>
      <c r="G17"/>
      <c r="H17"/>
      <c r="I17"/>
      <c r="S17" s="9" t="s">
        <v>90</v>
      </c>
      <c r="T17" s="9" t="s">
        <v>35</v>
      </c>
      <c r="U17" s="9" t="s">
        <v>98</v>
      </c>
      <c r="V17" s="9" t="s">
        <v>35</v>
      </c>
      <c r="W17" s="9" t="s">
        <v>96</v>
      </c>
      <c r="X17" s="9" t="s">
        <v>129</v>
      </c>
      <c r="Y17" s="9" t="s">
        <v>130</v>
      </c>
    </row>
    <row r="18" spans="1:25" x14ac:dyDescent="0.3">
      <c r="A18"/>
      <c r="B18"/>
      <c r="C18"/>
      <c r="D18"/>
      <c r="E18"/>
      <c r="F18"/>
      <c r="G18"/>
      <c r="H18"/>
      <c r="I18"/>
      <c r="S18" s="9" t="s">
        <v>99</v>
      </c>
      <c r="T18" s="9" t="s">
        <v>43</v>
      </c>
      <c r="U18" s="9" t="s">
        <v>98</v>
      </c>
      <c r="V18" s="9" t="s">
        <v>43</v>
      </c>
      <c r="W18" s="9" t="s">
        <v>96</v>
      </c>
      <c r="X18" s="9" t="s">
        <v>129</v>
      </c>
      <c r="Y18" s="9" t="s">
        <v>130</v>
      </c>
    </row>
    <row r="19" spans="1:25" x14ac:dyDescent="0.3">
      <c r="A19"/>
      <c r="B19"/>
      <c r="C19"/>
      <c r="D19"/>
      <c r="E19"/>
      <c r="F19"/>
      <c r="G19"/>
      <c r="H19"/>
      <c r="I19"/>
    </row>
    <row r="20" spans="1:25" x14ac:dyDescent="0.3">
      <c r="A20"/>
      <c r="B20"/>
      <c r="C20"/>
      <c r="D20"/>
      <c r="E20"/>
      <c r="F20"/>
      <c r="G20"/>
      <c r="H20"/>
      <c r="I20"/>
    </row>
    <row r="21" spans="1:25" x14ac:dyDescent="0.3">
      <c r="A21"/>
      <c r="B21"/>
      <c r="C21"/>
      <c r="D21"/>
      <c r="E21"/>
      <c r="F21"/>
      <c r="G21"/>
      <c r="H21"/>
      <c r="I21"/>
    </row>
    <row r="22" spans="1:25" x14ac:dyDescent="0.3">
      <c r="A22"/>
      <c r="B22"/>
      <c r="C22"/>
      <c r="D22"/>
      <c r="E22"/>
      <c r="F22"/>
      <c r="G22"/>
      <c r="H22"/>
      <c r="I22"/>
    </row>
    <row r="23" spans="1:25" x14ac:dyDescent="0.3">
      <c r="A23"/>
      <c r="B23"/>
      <c r="C23"/>
      <c r="D23"/>
      <c r="E23"/>
    </row>
    <row r="24" spans="1:25" x14ac:dyDescent="0.3">
      <c r="A24"/>
      <c r="B24"/>
      <c r="C24"/>
      <c r="D24"/>
      <c r="E24"/>
    </row>
  </sheetData>
  <mergeCells count="3">
    <mergeCell ref="A1:Q1"/>
    <mergeCell ref="A2:Q2"/>
    <mergeCell ref="S4:Y4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A2CD-67D4-44E8-BC31-88B29B254088}">
  <dimension ref="A1:A16"/>
  <sheetViews>
    <sheetView workbookViewId="0">
      <selection activeCell="E14" sqref="E14"/>
    </sheetView>
  </sheetViews>
  <sheetFormatPr baseColWidth="10" defaultRowHeight="14.4" x14ac:dyDescent="0.3"/>
  <cols>
    <col min="1" max="1" width="96.33203125" customWidth="1"/>
  </cols>
  <sheetData>
    <row r="1" spans="1:1" x14ac:dyDescent="0.3">
      <c r="A1" s="8" t="s">
        <v>82</v>
      </c>
    </row>
    <row r="2" spans="1:1" x14ac:dyDescent="0.3">
      <c r="A2" s="6" t="s">
        <v>70</v>
      </c>
    </row>
    <row r="3" spans="1:1" ht="28.8" x14ac:dyDescent="0.3">
      <c r="A3" s="6" t="s">
        <v>69</v>
      </c>
    </row>
    <row r="4" spans="1:1" x14ac:dyDescent="0.3">
      <c r="A4" s="6" t="s">
        <v>66</v>
      </c>
    </row>
    <row r="5" spans="1:1" x14ac:dyDescent="0.3">
      <c r="A5" s="6"/>
    </row>
    <row r="6" spans="1:1" x14ac:dyDescent="0.3">
      <c r="A6" s="6"/>
    </row>
    <row r="7" spans="1:1" x14ac:dyDescent="0.3">
      <c r="A7" s="6"/>
    </row>
    <row r="8" spans="1:1" x14ac:dyDescent="0.3">
      <c r="A8" s="6"/>
    </row>
    <row r="9" spans="1:1" x14ac:dyDescent="0.3">
      <c r="A9" s="6"/>
    </row>
    <row r="10" spans="1:1" x14ac:dyDescent="0.3">
      <c r="A10" s="6"/>
    </row>
    <row r="11" spans="1:1" x14ac:dyDescent="0.3">
      <c r="A11" s="6"/>
    </row>
    <row r="12" spans="1:1" x14ac:dyDescent="0.3">
      <c r="A12" s="6"/>
    </row>
    <row r="13" spans="1:1" x14ac:dyDescent="0.3">
      <c r="A13" s="6"/>
    </row>
    <row r="14" spans="1:1" x14ac:dyDescent="0.3">
      <c r="A14" s="6"/>
    </row>
    <row r="15" spans="1:1" x14ac:dyDescent="0.3">
      <c r="A15" s="6"/>
    </row>
    <row r="16" spans="1:1" x14ac:dyDescent="0.3">
      <c r="A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11</vt:i4>
      </vt:variant>
    </vt:vector>
  </HeadingPairs>
  <TitlesOfParts>
    <vt:vector size="19" baseType="lpstr">
      <vt:lpstr>USUARIOS</vt:lpstr>
      <vt:lpstr>VEHICULOS</vt:lpstr>
      <vt:lpstr>CARGA</vt:lpstr>
      <vt:lpstr>LUGARES</vt:lpstr>
      <vt:lpstr>VIAJES</vt:lpstr>
      <vt:lpstr>CARGAMENTO_VIAJE</vt:lpstr>
      <vt:lpstr>Catalogos</vt:lpstr>
      <vt:lpstr>Planificacion</vt:lpstr>
      <vt:lpstr>ListaCargas</vt:lpstr>
      <vt:lpstr>ListaEstados</vt:lpstr>
      <vt:lpstr>ListaLugares</vt:lpstr>
      <vt:lpstr>ListaMetodosMedicion</vt:lpstr>
      <vt:lpstr>ListaRoles</vt:lpstr>
      <vt:lpstr>ListaTiposCarga</vt:lpstr>
      <vt:lpstr>ListaTiposVehiculo</vt:lpstr>
      <vt:lpstr>ListaUnidades</vt:lpstr>
      <vt:lpstr>ListaUsuarios</vt:lpstr>
      <vt:lpstr>ListaVehiculos</vt:lpstr>
      <vt:lpstr>ListaViajes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Mauricio Varga</cp:lastModifiedBy>
  <cp:revision/>
  <dcterms:created xsi:type="dcterms:W3CDTF">2026-08-19T15:50:11Z</dcterms:created>
  <dcterms:modified xsi:type="dcterms:W3CDTF">2026-08-30T03:46:43Z</dcterms:modified>
  <cp:category/>
  <cp:contentStatus/>
</cp:coreProperties>
</file>